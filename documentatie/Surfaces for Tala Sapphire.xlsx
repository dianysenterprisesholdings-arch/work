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\\CAD_CM\cad\2023\Pr. nr. 250_10.01.2023 - TALA SAPPHIRE SRL (DTAC+PTh)\PS_250\"/>
    </mc:Choice>
  </mc:AlternateContent>
  <xr:revisionPtr revIDLastSave="0" documentId="13_ncr:1_{C8A97914-D521-446B-97B8-E63FB1CE29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0" i="1" s="1"/>
  <c r="K10" i="1" s="1"/>
  <c r="F5" i="1"/>
  <c r="F3" i="1"/>
  <c r="F2" i="1"/>
  <c r="I8" i="1" l="1"/>
  <c r="I10" i="1" s="1"/>
  <c r="F8" i="1"/>
  <c r="F10" i="1" s="1"/>
  <c r="D8" i="1"/>
  <c r="H8" i="1"/>
  <c r="B8" i="1"/>
  <c r="J7" i="1"/>
  <c r="J6" i="1"/>
  <c r="J4" i="1"/>
  <c r="J3" i="1"/>
  <c r="E7" i="1"/>
  <c r="E6" i="1"/>
  <c r="E4" i="1"/>
  <c r="E3" i="1"/>
  <c r="J5" i="1"/>
  <c r="E5" i="1"/>
  <c r="J2" i="1"/>
  <c r="E2" i="1"/>
  <c r="C3" i="1"/>
  <c r="K3" i="1" s="1"/>
  <c r="C4" i="1"/>
  <c r="K4" i="1" s="1"/>
  <c r="C5" i="1"/>
  <c r="K5" i="1" s="1"/>
  <c r="C6" i="1"/>
  <c r="K6" i="1" s="1"/>
  <c r="C7" i="1"/>
  <c r="K7" i="1" s="1"/>
  <c r="C2" i="1"/>
  <c r="C8" i="1" s="1"/>
  <c r="J8" i="1" l="1"/>
  <c r="J10" i="1" s="1"/>
  <c r="K2" i="1"/>
  <c r="K8" i="1" s="1"/>
  <c r="E8" i="1"/>
</calcChain>
</file>

<file path=xl/sharedStrings.xml><?xml version="1.0" encoding="utf-8"?>
<sst xmlns="http://schemas.openxmlformats.org/spreadsheetml/2006/main" count="19" uniqueCount="19">
  <si>
    <t>AC</t>
  </si>
  <si>
    <t>AD</t>
  </si>
  <si>
    <t>AU</t>
  </si>
  <si>
    <t>C1, C2</t>
  </si>
  <si>
    <t>C3, C4, C5, C7, C8</t>
  </si>
  <si>
    <t>BUILDING</t>
  </si>
  <si>
    <t>C6</t>
  </si>
  <si>
    <t>C9, C10</t>
  </si>
  <si>
    <t>C11, C12, C13, C14</t>
  </si>
  <si>
    <t>C15, C16, C17, C18</t>
  </si>
  <si>
    <t>TOTAL AD</t>
  </si>
  <si>
    <t>TOTAL AUV</t>
  </si>
  <si>
    <t>TOTAL AU</t>
  </si>
  <si>
    <t>TOTAL GENERAL</t>
  </si>
  <si>
    <t>AU BOXE</t>
  </si>
  <si>
    <t>AU COMERCIAL</t>
  </si>
  <si>
    <t>AUV/BUILDING (sale area)</t>
  </si>
  <si>
    <t>TOTAL GENERAL AUV</t>
  </si>
  <si>
    <t>AU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</si>
</sst>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"/>
  <sheetViews>
    <sheetView tabSelected="1" workbookViewId="0">
      <selection sqref="A1:K10"/>
    </sheetView>
  </sheetViews>
  <sheetFormatPr defaultRowHeight="15" x14ac:dyDescent="0.25"/>
  <cols>
    <col min="1" max="1" width="19.85546875" bestFit="1" customWidth="1"/>
    <col min="5" max="5" width="10.28515625" bestFit="1" customWidth="1"/>
    <col min="6" max="6" width="10.7109375" bestFit="1" customWidth="1"/>
    <col min="7" max="7" width="12.5703125" bestFit="1" customWidth="1"/>
    <col min="8" max="8" width="24.28515625" bestFit="1" customWidth="1"/>
    <col min="9" max="9" width="15.42578125" bestFit="1" customWidth="1"/>
    <col min="10" max="10" width="14.5703125" customWidth="1"/>
    <col min="11" max="11" width="10.28515625" bestFit="1" customWidth="1"/>
  </cols>
  <sheetData>
    <row r="1" spans="1:11" ht="15.75" x14ac:dyDescent="0.25">
      <c r="A1" s="16" t="s">
        <v>5</v>
      </c>
      <c r="B1" s="16" t="s">
        <v>0</v>
      </c>
      <c r="C1" s="16" t="s">
        <v>1</v>
      </c>
      <c r="D1" s="16" t="s">
        <v>2</v>
      </c>
      <c r="E1" s="16" t="s">
        <v>12</v>
      </c>
      <c r="F1" s="16" t="s">
        <v>14</v>
      </c>
      <c r="G1" s="16" t="s">
        <v>18</v>
      </c>
      <c r="H1" s="16" t="s">
        <v>16</v>
      </c>
      <c r="I1" s="25" t="s">
        <v>15</v>
      </c>
      <c r="J1" s="26" t="s">
        <v>11</v>
      </c>
      <c r="K1" s="21" t="s">
        <v>10</v>
      </c>
    </row>
    <row r="2" spans="1:11" x14ac:dyDescent="0.25">
      <c r="A2" s="14" t="s">
        <v>3</v>
      </c>
      <c r="B2" s="1">
        <v>649.79999999999995</v>
      </c>
      <c r="C2" s="1">
        <f>SUM(B2)*6</f>
        <v>3898.7999999999997</v>
      </c>
      <c r="D2" s="1">
        <v>3243.3</v>
      </c>
      <c r="E2" s="18">
        <f>SUM(D2)*2</f>
        <v>6486.6</v>
      </c>
      <c r="F2" s="18">
        <f>SUM(D2-H2)*2</f>
        <v>857.24000000000069</v>
      </c>
      <c r="G2" s="18">
        <v>0</v>
      </c>
      <c r="H2" s="1">
        <v>2814.68</v>
      </c>
      <c r="I2" s="2">
        <v>0</v>
      </c>
      <c r="J2" s="8">
        <f>SUM(H2)*2</f>
        <v>5629.36</v>
      </c>
      <c r="K2" s="22">
        <f>SUM(C2)*2</f>
        <v>7797.5999999999995</v>
      </c>
    </row>
    <row r="3" spans="1:11" x14ac:dyDescent="0.25">
      <c r="A3" s="14" t="s">
        <v>4</v>
      </c>
      <c r="B3" s="1">
        <v>776.7</v>
      </c>
      <c r="C3" s="1">
        <f t="shared" ref="C3:C7" si="0">SUM(B3)*6</f>
        <v>4660.2000000000007</v>
      </c>
      <c r="D3" s="1">
        <v>3905.31</v>
      </c>
      <c r="E3" s="18">
        <f>SUM(D3)*5</f>
        <v>19526.55</v>
      </c>
      <c r="F3" s="18">
        <f>SUM(D3-H3)*5</f>
        <v>2741.099999999999</v>
      </c>
      <c r="G3" s="18">
        <v>0</v>
      </c>
      <c r="H3" s="1">
        <v>3357.09</v>
      </c>
      <c r="I3" s="2">
        <v>0</v>
      </c>
      <c r="J3" s="8">
        <f>SUM(H3)*5</f>
        <v>16785.45</v>
      </c>
      <c r="K3" s="22">
        <f>SUM(C3)*5</f>
        <v>23301.000000000004</v>
      </c>
    </row>
    <row r="4" spans="1:11" x14ac:dyDescent="0.25">
      <c r="A4" s="14" t="s">
        <v>6</v>
      </c>
      <c r="B4" s="1">
        <v>776.7</v>
      </c>
      <c r="C4" s="1">
        <f t="shared" si="0"/>
        <v>4660.2000000000007</v>
      </c>
      <c r="D4" s="1">
        <v>3887.2</v>
      </c>
      <c r="E4" s="18">
        <f>SUM(D4)*1</f>
        <v>3887.2</v>
      </c>
      <c r="F4" s="18">
        <v>0</v>
      </c>
      <c r="G4" s="18">
        <v>0</v>
      </c>
      <c r="H4" s="1">
        <v>2988.89</v>
      </c>
      <c r="I4" s="2">
        <v>700</v>
      </c>
      <c r="J4" s="8">
        <f>SUM(H4)*1</f>
        <v>2988.89</v>
      </c>
      <c r="K4" s="22">
        <f>SUM(C4)*1</f>
        <v>4660.2000000000007</v>
      </c>
    </row>
    <row r="5" spans="1:11" x14ac:dyDescent="0.25">
      <c r="A5" s="14" t="s">
        <v>7</v>
      </c>
      <c r="B5" s="1">
        <v>664.2</v>
      </c>
      <c r="C5" s="1">
        <f t="shared" si="0"/>
        <v>3985.2000000000003</v>
      </c>
      <c r="D5" s="1">
        <v>3320.9</v>
      </c>
      <c r="E5" s="18">
        <f t="shared" ref="E5" si="1">SUM(D5)*2</f>
        <v>6641.8</v>
      </c>
      <c r="F5" s="18">
        <f>SUM(D5-H5)*2</f>
        <v>879.57999999999993</v>
      </c>
      <c r="G5" s="18">
        <v>0</v>
      </c>
      <c r="H5" s="1">
        <v>2881.11</v>
      </c>
      <c r="I5" s="2">
        <v>0</v>
      </c>
      <c r="J5" s="8">
        <f t="shared" ref="J5" si="2">SUM(H5)*2</f>
        <v>5762.22</v>
      </c>
      <c r="K5" s="22">
        <f>SUM(C5)*2</f>
        <v>7970.4000000000005</v>
      </c>
    </row>
    <row r="6" spans="1:11" x14ac:dyDescent="0.25">
      <c r="A6" s="14" t="s">
        <v>8</v>
      </c>
      <c r="B6" s="1">
        <v>703.8</v>
      </c>
      <c r="C6" s="1">
        <f t="shared" si="0"/>
        <v>4222.7999999999993</v>
      </c>
      <c r="D6" s="1">
        <v>3526.03</v>
      </c>
      <c r="E6" s="18">
        <f>SUM(D6)*4</f>
        <v>14104.12</v>
      </c>
      <c r="F6" s="18">
        <v>0</v>
      </c>
      <c r="G6" s="18">
        <v>0</v>
      </c>
      <c r="H6" s="1">
        <v>3049.05</v>
      </c>
      <c r="I6" s="2">
        <v>0</v>
      </c>
      <c r="J6" s="8">
        <f>SUM(H6)*4</f>
        <v>12196.2</v>
      </c>
      <c r="K6" s="22">
        <f>SUM(C6)*4</f>
        <v>16891.199999999997</v>
      </c>
    </row>
    <row r="7" spans="1:11" ht="15.75" thickBot="1" x14ac:dyDescent="0.3">
      <c r="A7" s="19" t="s">
        <v>9</v>
      </c>
      <c r="B7" s="3">
        <v>664.2</v>
      </c>
      <c r="C7" s="3">
        <f t="shared" si="0"/>
        <v>3985.2000000000003</v>
      </c>
      <c r="D7" s="3">
        <v>3358.99</v>
      </c>
      <c r="E7" s="20">
        <f>SUM(D7)*4</f>
        <v>13435.96</v>
      </c>
      <c r="F7" s="20">
        <v>0</v>
      </c>
      <c r="G7" s="20">
        <v>950</v>
      </c>
      <c r="H7" s="3">
        <v>2492.1</v>
      </c>
      <c r="I7" s="4">
        <v>0</v>
      </c>
      <c r="J7" s="9">
        <f>SUM(H7)*4</f>
        <v>9968.4</v>
      </c>
      <c r="K7" s="23">
        <f>SUM(C7)*4</f>
        <v>15940.800000000001</v>
      </c>
    </row>
    <row r="8" spans="1:11" ht="15.75" thickBot="1" x14ac:dyDescent="0.3">
      <c r="A8" s="5" t="s">
        <v>13</v>
      </c>
      <c r="B8" s="6">
        <f>SUM(B2:B7)</f>
        <v>4235.3999999999996</v>
      </c>
      <c r="C8" s="6">
        <f t="shared" ref="C8:K8" si="3">SUM(C2:C7)</f>
        <v>25412.400000000001</v>
      </c>
      <c r="D8" s="6">
        <f t="shared" si="3"/>
        <v>21241.730000000003</v>
      </c>
      <c r="E8" s="6">
        <f t="shared" si="3"/>
        <v>64082.23</v>
      </c>
      <c r="F8" s="6">
        <f t="shared" si="3"/>
        <v>4477.92</v>
      </c>
      <c r="G8" s="6">
        <f t="shared" si="3"/>
        <v>950</v>
      </c>
      <c r="H8" s="6">
        <f t="shared" si="3"/>
        <v>17582.919999999998</v>
      </c>
      <c r="I8" s="7">
        <f t="shared" si="3"/>
        <v>700</v>
      </c>
      <c r="J8" s="10">
        <f t="shared" si="3"/>
        <v>53330.520000000004</v>
      </c>
      <c r="K8" s="24">
        <f t="shared" si="3"/>
        <v>76561.2</v>
      </c>
    </row>
    <row r="9" spans="1:11" ht="15.75" thickBot="1" x14ac:dyDescent="0.3">
      <c r="A9" s="13"/>
      <c r="K9" s="15"/>
    </row>
    <row r="10" spans="1:11" ht="15.75" thickBot="1" x14ac:dyDescent="0.3">
      <c r="A10" s="10" t="s">
        <v>17</v>
      </c>
      <c r="B10" s="12"/>
      <c r="C10" s="12"/>
      <c r="D10" s="12"/>
      <c r="E10" s="12"/>
      <c r="F10" s="10">
        <f>F8</f>
        <v>4477.92</v>
      </c>
      <c r="G10" s="10">
        <f>G8</f>
        <v>950</v>
      </c>
      <c r="H10" s="12"/>
      <c r="I10" s="17">
        <f>I8</f>
        <v>700</v>
      </c>
      <c r="J10" s="10">
        <f>J8</f>
        <v>53330.520000000004</v>
      </c>
      <c r="K10" s="11">
        <f>SUM(F10,G10,I10,J10)</f>
        <v>59458.44</v>
      </c>
    </row>
  </sheetData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Ovidiu Murgu</dc:creator>
  <cp:lastModifiedBy>Ovidiu Murgu</cp:lastModifiedBy>
  <cp:lastPrinted>2023-08-30T12:05:09Z</cp:lastPrinted>
  <dcterms:created xsi:type="dcterms:W3CDTF">2015-06-05T18:17:20Z</dcterms:created>
  <dcterms:modified xsi:type="dcterms:W3CDTF">2023-08-30T12:05:11Z</dcterms:modified>
</cp:coreProperties>
</file>